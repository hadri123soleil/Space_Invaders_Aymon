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106-MaintenanceBaseDonnees\Projet\Space_Invaders_Aymon\Documents\"/>
    </mc:Choice>
  </mc:AlternateContent>
  <xr:revisionPtr revIDLastSave="0" documentId="13_ncr:1_{6435DE14-D0EA-43A8-92D0-FF356A198DE8}" xr6:coauthVersionLast="47" xr6:coauthVersionMax="47" xr10:uidLastSave="{00000000-0000-0000-0000-000000000000}"/>
  <bookViews>
    <workbookView xWindow="0" yWindow="0" windowWidth="14400" windowHeight="1560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7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8" i="157" l="1"/>
  <c r="D77" i="157" s="1"/>
  <c r="D96" i="157" s="1"/>
  <c r="D115" i="157" s="1"/>
  <c r="D134" i="157" s="1"/>
  <c r="D153" i="157" s="1"/>
  <c r="D172" i="157" s="1"/>
  <c r="D39" i="157"/>
  <c r="D20" i="157"/>
  <c r="D1" i="157"/>
  <c r="B189" i="157"/>
  <c r="B170" i="157"/>
  <c r="B151" i="157"/>
  <c r="B132" i="157"/>
  <c r="B113" i="157"/>
  <c r="B94" i="157"/>
  <c r="B75" i="157"/>
  <c r="B56" i="157"/>
  <c r="B37" i="157"/>
  <c r="B18" i="157"/>
  <c r="B18" i="154"/>
  <c r="B13" i="11" l="1"/>
</calcChain>
</file>

<file path=xl/sharedStrings.xml><?xml version="1.0" encoding="utf-8"?>
<sst xmlns="http://schemas.openxmlformats.org/spreadsheetml/2006/main" count="157" uniqueCount="53">
  <si>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</si>
  <si>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</si>
  <si>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</si>
  <si>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</si>
  <si>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</si>
  <si>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</si>
  <si>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</si>
  <si>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</si>
  <si>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</si>
  <si>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</si>
  <si>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</si>
  <si>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</si>
  <si>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</si>
  <si>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</si>
  <si>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</si>
  <si>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</si>
  <si>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</si>
  <si>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</si>
  <si>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</si>
  <si>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</si>
  <si>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</si>
  <si>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</si>
  <si>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</si>
  <si>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</si>
  <si>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Hadrien - Aymon</t>
  </si>
  <si>
    <t>Cin2a</t>
  </si>
  <si>
    <t>ETML Vennes</t>
  </si>
  <si>
    <t>STOP</t>
  </si>
  <si>
    <t>Journal de travail</t>
  </si>
  <si>
    <t>Rapport</t>
  </si>
  <si>
    <t>P_106-SpaceInvaders</t>
  </si>
  <si>
    <t>Modélisation</t>
  </si>
  <si>
    <t>Max. 12</t>
  </si>
  <si>
    <t>Maladie</t>
  </si>
  <si>
    <t>Lecture</t>
  </si>
  <si>
    <t>Lecture du cahier des charges</t>
  </si>
  <si>
    <t>Création de la modélisation sur looping</t>
  </si>
  <si>
    <t>Création du rapport et ajout d'image du mcd</t>
  </si>
  <si>
    <t>Création du journal de travail et ajout des tâches de la semaine 1 et 2</t>
  </si>
  <si>
    <t>Finalisation de la modélisation</t>
  </si>
  <si>
    <t>Github</t>
  </si>
  <si>
    <t>Base de donnée</t>
  </si>
  <si>
    <t>Debut d'un readme réaliser avec obsidian</t>
  </si>
  <si>
    <t>https://obsidian.md/download</t>
  </si>
  <si>
    <t>Création de la base de donnée, ajout des tables et création des données avec mockaroo pour la table "t_joueur"</t>
  </si>
  <si>
    <t>https://mockaroo.com/</t>
  </si>
  <si>
    <t>Ajout d'image du MCD, de la création de la base de donnée et de la table "t_joueur". Explication des données de la table "t_joueur"</t>
  </si>
  <si>
    <t>Ajout des tâches du jour</t>
  </si>
  <si>
    <t>Création de la base de donnée mais sur mysql</t>
  </si>
  <si>
    <t>Ajout du script sql pour crée les tables dans la base de données</t>
  </si>
  <si>
    <t xml:space="preserve">Utilisation de mockaroo pour crée les données dans les tables t_joueur, t_commande, t_arme, t_suivre et t_avoir et insertion de ces données dans la base de données. </t>
  </si>
  <si>
    <t xml:space="preserve">Création des utilisateurs demandé et création des rôles pour ces utilisateurs. </t>
  </si>
  <si>
    <t>Backup de la base de données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</si>
</sst>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5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https://mockaroo.com/" TargetMode="External"/><Relationship Id="rId7" Type="http://schemas.openxmlformats.org/officeDocument/2006/relationships/control" Target="../activeX/activeX6.xml"/><Relationship Id="rId2" Type="http://schemas.openxmlformats.org/officeDocument/2006/relationships/hyperlink" Target="https://mockaroo.com/" TargetMode="External"/><Relationship Id="rId1" Type="http://schemas.openxmlformats.org/officeDocument/2006/relationships/hyperlink" Target="https://obsidian.md/download" TargetMode="External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C7" zoomScaleNormal="100" zoomScaleSheetLayoutView="100" workbookViewId="0">
      <selection activeCell="C27" sqref="C27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30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45602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45665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10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1" t="s">
        <v>19</v>
      </c>
      <c r="C19" s="92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31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29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28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34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40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41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3" t="s">
        <v>21</v>
      </c>
      <c r="C3" s="16">
        <v>0</v>
      </c>
    </row>
    <row r="4" spans="1:4" ht="19.5" customHeight="1" x14ac:dyDescent="0.25">
      <c r="A4" s="19"/>
      <c r="B4" s="94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F9CDC-70D8-4F50-A010-9E40FD7D48C4}">
  <sheetPr codeName="Feuil9"/>
  <dimension ref="A1:H191"/>
  <sheetViews>
    <sheetView tabSelected="1" topLeftCell="C39" workbookViewId="0">
      <selection activeCell="D65" sqref="D65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45602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21</v>
      </c>
      <c r="B3" s="4">
        <v>12</v>
      </c>
      <c r="C3" s="88" t="s">
        <v>33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86" t="s">
        <v>32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45609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34</v>
      </c>
      <c r="B22" s="4">
        <v>2</v>
      </c>
      <c r="C22" s="88" t="s">
        <v>35</v>
      </c>
      <c r="D22" s="9"/>
    </row>
    <row r="23" spans="1:8" x14ac:dyDescent="0.25">
      <c r="A23" s="1" t="s">
        <v>31</v>
      </c>
      <c r="B23" s="2">
        <v>2</v>
      </c>
      <c r="C23" s="89" t="s">
        <v>36</v>
      </c>
      <c r="D23" s="10"/>
    </row>
    <row r="24" spans="1:8" x14ac:dyDescent="0.25">
      <c r="A24" s="1" t="s">
        <v>29</v>
      </c>
      <c r="B24" s="2">
        <v>1</v>
      </c>
      <c r="C24" s="89" t="s">
        <v>37</v>
      </c>
      <c r="D24" s="10"/>
    </row>
    <row r="25" spans="1:8" ht="12.75" customHeight="1" x14ac:dyDescent="0.25">
      <c r="A25" s="1" t="s">
        <v>28</v>
      </c>
      <c r="B25" s="2">
        <v>1</v>
      </c>
      <c r="C25" s="89" t="s">
        <v>38</v>
      </c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6</v>
      </c>
      <c r="C37" s="86" t="s">
        <v>32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45616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31</v>
      </c>
      <c r="B41" s="4">
        <v>3</v>
      </c>
      <c r="C41" s="88" t="s">
        <v>39</v>
      </c>
      <c r="D41" s="9"/>
    </row>
    <row r="42" spans="1:8" x14ac:dyDescent="0.25">
      <c r="A42" s="1" t="s">
        <v>40</v>
      </c>
      <c r="B42" s="2">
        <v>3</v>
      </c>
      <c r="C42" s="89" t="s">
        <v>42</v>
      </c>
      <c r="D42" s="90" t="s">
        <v>43</v>
      </c>
    </row>
    <row r="43" spans="1:8" ht="27" x14ac:dyDescent="0.25">
      <c r="A43" s="1" t="s">
        <v>41</v>
      </c>
      <c r="B43" s="2">
        <v>4</v>
      </c>
      <c r="C43" s="89" t="s">
        <v>44</v>
      </c>
      <c r="D43" s="90" t="s">
        <v>45</v>
      </c>
    </row>
    <row r="44" spans="1:8" ht="27" x14ac:dyDescent="0.25">
      <c r="A44" s="1" t="s">
        <v>29</v>
      </c>
      <c r="B44" s="2">
        <v>1</v>
      </c>
      <c r="C44" s="89" t="s">
        <v>46</v>
      </c>
      <c r="D44" s="10"/>
    </row>
    <row r="45" spans="1:8" x14ac:dyDescent="0.25">
      <c r="A45" s="1" t="s">
        <v>28</v>
      </c>
      <c r="B45" s="2">
        <v>1</v>
      </c>
      <c r="C45" s="89" t="s">
        <v>47</v>
      </c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12</v>
      </c>
      <c r="C56" s="86" t="s">
        <v>32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$D$39+21</f>
        <v>45637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41</v>
      </c>
      <c r="B60" s="4">
        <v>2</v>
      </c>
      <c r="C60" s="88" t="s">
        <v>48</v>
      </c>
      <c r="D60" s="9"/>
    </row>
    <row r="61" spans="1:4" x14ac:dyDescent="0.25">
      <c r="A61" s="1" t="s">
        <v>41</v>
      </c>
      <c r="B61" s="2">
        <v>1</v>
      </c>
      <c r="C61" s="89" t="s">
        <v>49</v>
      </c>
      <c r="D61" s="10"/>
    </row>
    <row r="62" spans="1:4" ht="27" x14ac:dyDescent="0.25">
      <c r="A62" s="1" t="s">
        <v>41</v>
      </c>
      <c r="B62" s="2">
        <v>4</v>
      </c>
      <c r="C62" s="89" t="s">
        <v>50</v>
      </c>
      <c r="D62" s="90" t="s">
        <v>45</v>
      </c>
    </row>
    <row r="63" spans="1:4" x14ac:dyDescent="0.25">
      <c r="A63" s="1" t="s">
        <v>41</v>
      </c>
      <c r="B63" s="2">
        <v>3</v>
      </c>
      <c r="C63" s="89" t="s">
        <v>51</v>
      </c>
      <c r="D63" s="10"/>
    </row>
    <row r="64" spans="1:4" x14ac:dyDescent="0.25">
      <c r="A64" s="1" t="s">
        <v>41</v>
      </c>
      <c r="B64" s="2">
        <v>1</v>
      </c>
      <c r="C64" s="89" t="s">
        <v>52</v>
      </c>
      <c r="D64" s="10"/>
    </row>
    <row r="65" spans="1:4" x14ac:dyDescent="0.25">
      <c r="A65" s="1" t="s">
        <v>28</v>
      </c>
      <c r="B65" s="2">
        <v>1</v>
      </c>
      <c r="C65" s="89" t="s">
        <v>47</v>
      </c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12</v>
      </c>
      <c r="C75" s="86" t="s">
        <v>32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45644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32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45651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32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45658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32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45665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32</v>
      </c>
      <c r="D151" s="48"/>
    </row>
    <row r="152" spans="1:4" ht="15" thickBot="1" x14ac:dyDescent="0.35">
      <c r="A152" s="49"/>
      <c r="B152" s="49"/>
      <c r="C152" s="49"/>
      <c r="D152" s="49"/>
    </row>
    <row r="153" spans="1:4" ht="18.75" thickBot="1" x14ac:dyDescent="0.3">
      <c r="A153" s="42" t="s">
        <v>14</v>
      </c>
      <c r="B153" s="43">
        <v>9</v>
      </c>
      <c r="C153" s="44" t="s">
        <v>23</v>
      </c>
      <c r="D153" s="53">
        <f>$D$134+7</f>
        <v>45672</v>
      </c>
    </row>
    <row r="154" spans="1:4" ht="27.75" thickBot="1" x14ac:dyDescent="0.3">
      <c r="A154" s="45" t="s">
        <v>3</v>
      </c>
      <c r="B154" s="46" t="s">
        <v>15</v>
      </c>
      <c r="C154" s="45" t="s">
        <v>7</v>
      </c>
      <c r="D154" s="45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0"/>
      <c r="B167" s="50"/>
      <c r="C167" s="51"/>
      <c r="D167" s="51"/>
    </row>
    <row r="168" spans="1:4" x14ac:dyDescent="0.25">
      <c r="A168" s="50"/>
      <c r="B168" s="50"/>
      <c r="C168" s="51"/>
      <c r="D168" s="51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7" t="s">
        <v>22</v>
      </c>
      <c r="B170" s="47">
        <f>SUM(B155:B169)</f>
        <v>0</v>
      </c>
      <c r="C170" s="86" t="s">
        <v>32</v>
      </c>
      <c r="D170" s="48"/>
    </row>
    <row r="171" spans="1:4" ht="15" thickBot="1" x14ac:dyDescent="0.35">
      <c r="A171" s="49"/>
      <c r="B171" s="49"/>
      <c r="C171" s="49"/>
      <c r="D171" s="49"/>
    </row>
    <row r="172" spans="1:4" ht="18.75" thickBot="1" x14ac:dyDescent="0.3">
      <c r="A172" s="42" t="s">
        <v>14</v>
      </c>
      <c r="B172" s="43">
        <v>10</v>
      </c>
      <c r="C172" s="44" t="s">
        <v>23</v>
      </c>
      <c r="D172" s="53">
        <f>$D$153+7</f>
        <v>45679</v>
      </c>
    </row>
    <row r="173" spans="1:4" ht="27.75" thickBot="1" x14ac:dyDescent="0.3">
      <c r="A173" s="45" t="s">
        <v>3</v>
      </c>
      <c r="B173" s="46" t="s">
        <v>15</v>
      </c>
      <c r="C173" s="45" t="s">
        <v>7</v>
      </c>
      <c r="D173" s="45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0"/>
      <c r="B186" s="50"/>
      <c r="C186" s="51"/>
      <c r="D186" s="51"/>
    </row>
    <row r="187" spans="1:4" x14ac:dyDescent="0.25">
      <c r="A187" s="50"/>
      <c r="B187" s="50"/>
      <c r="C187" s="51"/>
      <c r="D187" s="51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7" t="s">
        <v>22</v>
      </c>
      <c r="B189" s="47">
        <f>SUM(B174:B188)</f>
        <v>0</v>
      </c>
      <c r="C189" s="86" t="s">
        <v>32</v>
      </c>
      <c r="D189" s="48"/>
    </row>
    <row r="190" spans="1:4" ht="14.25" x14ac:dyDescent="0.3">
      <c r="A190" s="49"/>
      <c r="B190" s="49"/>
      <c r="C190" s="49"/>
      <c r="D190" s="49"/>
    </row>
    <row r="191" spans="1:4" x14ac:dyDescent="0.25">
      <c r="A191" s="87" t="s">
        <v>27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5A1CDA4-A75E-4FE2-A888-0A38AA0C7702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FD249BFF-2430-48D7-82E9-034BC25AB5A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ADA2A39F-39CF-4BBA-B894-477DD4E38B55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D723FB95-5F65-420D-B990-B628486548B0}">
      <formula1>lstTasks</formula1>
    </dataValidation>
  </dataValidations>
  <hyperlinks>
    <hyperlink ref="D42" r:id="rId1" xr:uid="{2A6FA9B1-E11B-46CB-A7A2-B1952082D35B}"/>
    <hyperlink ref="D43" r:id="rId2" xr:uid="{99CD561D-4A2E-476B-AF30-ABBBE199C6C0}"/>
    <hyperlink ref="D62" r:id="rId3" xr:uid="{DDDAE3DA-D67B-4AAC-B77D-333117B813F1}"/>
  </hyperlinks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46081" r:id="rId7" name="btnImportRealisation">
          <controlPr defaultSize="0" autoLine="0" r:id="rId8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7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Hadrien Gabriel Aymon</dc:creator>
  <cp:lastModifiedBy>Hadrien Gabriel Aymon</cp:lastModifiedBy>
  <cp:lastPrinted>2013-08-29T11:33:15Z</cp:lastPrinted>
  <dcterms:created xsi:type="dcterms:W3CDTF">1996-10-21T11:03:58Z</dcterms:created>
  <dcterms:modified xsi:type="dcterms:W3CDTF">2024-12-11T15:25:47Z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